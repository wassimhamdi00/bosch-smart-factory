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fd869ff314c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f205a47a2f54629"/>
    <x:sheet xmlns:r="http://schemas.openxmlformats.org/officeDocument/2006/relationships" name="Arbeitspakete" sheetId="2" r:id="Rba7cd0a8c3e345e5"/>
    <x:sheet xmlns:r="http://schemas.openxmlformats.org/officeDocument/2006/relationships" name="Rollenbudget" sheetId="3" r:id="R49eaa2b27fc947f9"/>
    <x:sheet xmlns:r="http://schemas.openxmlformats.org/officeDocument/2006/relationships" name="Kosten" sheetId="4" r:id="R68cd5bebcc344c76"/>
    <x:sheet xmlns:r="http://schemas.openxmlformats.org/officeDocument/2006/relationships" name="Gantt" sheetId="5" r:id="R847a3a7150c64c36"/>
    <x:sheet xmlns:r="http://schemas.openxmlformats.org/officeDocument/2006/relationships" name="Risiken" sheetId="6" r:id="R24c903cad45a4b69"/>
    <x:sheet xmlns:r="http://schemas.openxmlformats.org/officeDocument/2006/relationships" name="Anforderungen" sheetId="7" r:id="R3e61d83f1d8b4e42"/>
    <x:sheet xmlns:r="http://schemas.openxmlformats.org/officeDocument/2006/relationships" name="Testfaelle" sheetId="8" r:id="R6096eca5602b4273"/>
    <x:sheet xmlns:r="http://schemas.openxmlformats.org/officeDocument/2006/relationships" name="Traceability" sheetId="9" r:id="Ra8b7c15c41fc488f"/>
    <x:sheet xmlns:r="http://schemas.openxmlformats.org/officeDocument/2006/relationships" name="Toolvergleich" sheetId="10" r:id="R70accbcc91c748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651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9f2ff774a4fb2" /><Relationship Type="http://schemas.openxmlformats.org/officeDocument/2006/relationships/theme" Target="/xl/theme/theme1.xml" Id="R6ea3fd2f080d48bc" /><Relationship Type="http://schemas.openxmlformats.org/officeDocument/2006/relationships/sharedStrings" Target="/xl/sharedStrings.xml" Id="R26db106d538144c9" /><Relationship Type="http://schemas.openxmlformats.org/officeDocument/2006/relationships/worksheet" Target="/xl/worksheets/sheet1.xml" Id="R4f205a47a2f54629" /><Relationship Type="http://schemas.openxmlformats.org/officeDocument/2006/relationships/worksheet" Target="/xl/worksheets/sheet2.xml" Id="Rba7cd0a8c3e345e5" /><Relationship Type="http://schemas.openxmlformats.org/officeDocument/2006/relationships/worksheet" Target="/xl/worksheets/sheet3.xml" Id="R49eaa2b27fc947f9" /><Relationship Type="http://schemas.openxmlformats.org/officeDocument/2006/relationships/worksheet" Target="/xl/worksheets/sheet4.xml" Id="R68cd5bebcc344c76" /><Relationship Type="http://schemas.openxmlformats.org/officeDocument/2006/relationships/worksheet" Target="/xl/worksheets/sheet5.xml" Id="R847a3a7150c64c36" /><Relationship Type="http://schemas.openxmlformats.org/officeDocument/2006/relationships/worksheet" Target="/xl/worksheets/sheet6.xml" Id="R24c903cad45a4b69" /><Relationship Type="http://schemas.openxmlformats.org/officeDocument/2006/relationships/worksheet" Target="/xl/worksheets/sheet7.xml" Id="R3e61d83f1d8b4e42" /><Relationship Type="http://schemas.openxmlformats.org/officeDocument/2006/relationships/worksheet" Target="/xl/worksheets/sheet8.xml" Id="R6096eca5602b4273" /><Relationship Type="http://schemas.openxmlformats.org/officeDocument/2006/relationships/worksheet" Target="/xl/worksheets/sheet9.xml" Id="Ra8b7c15c41fc488f" /><Relationship Type="http://schemas.openxmlformats.org/officeDocument/2006/relationships/worksheet" Target="/xl/worksheets/sheet10.xml" Id="R70accbcc91c748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5" hidden="0" customWidth="1"/>
    <x:col min="3" max="3" width="25" hidden="0" customWidth="1"/>
    <x:col min="4" max="4" width="60" hidden="0" customWidth="1"/>
  </x:cols>
  <x:sheetData>
    <x:row r="1" ht="30" customHeight="1">
      <x:c r="A1" s="6" t="str">
        <x:v>Kennzahl</x:v>
      </x:c>
      <x:c r="B1" s="6" t="str">
        <x:v>B1</x:v>
      </x:c>
      <x:c r="C1" s="6" t="str">
        <x:v>B2</x:v>
      </x:c>
      <x:c r="D1" s="6" t="str">
        <x:v>Kommentar</x:v>
      </x:c>
    </x:row>
    <x:row r="2" ht="23" customHeight="1">
      <x:c r="A2" s="7" t="str">
        <x:v>Anforderungen</x:v>
      </x:c>
      <x:c r="B2" s="7" t="n">
        <x:v>15</x:v>
      </x:c>
      <x:c r="C2" s="7" t="n">
        <x:v>15</x:v>
      </x:c>
      <x:c r="D2" s="7" t="str">
        <x:v>REQ-001 bis REQ-015</x:v>
      </x:c>
    </x:row>
    <x:row r="3" ht="23" customHeight="1">
      <x:c r="A3" s="7" t="str">
        <x:v>Testfaelle</x:v>
      </x:c>
      <x:c r="B3" s="7" t="n">
        <x:v>13</x:v>
      </x:c>
      <x:c r="C3" s="7" t="n">
        <x:v>13</x:v>
      </x:c>
      <x:c r="D3" s="7" t="str">
        <x:v>TEST-001 bis TEST-013</x:v>
      </x:c>
    </x:row>
    <x:row r="4" ht="23" customHeight="1">
      <x:c r="A4" s="7" t="str">
        <x:v>Geplante Coverage</x:v>
      </x:c>
      <x:c r="B4" s="7" t="str">
        <x:v>100%</x:v>
      </x:c>
      <x:c r="C4" s="7" t="str">
        <x:v>100%</x:v>
      </x:c>
      <x:c r="D4" s="7" t="str">
        <x:v>15 von 15 verknuepft</x:v>
      </x:c>
    </x:row>
    <x:row r="5" ht="23" customHeight="1">
      <x:c r="A5" s="7" t="str">
        <x:v>Stunden</x:v>
      </x:c>
      <x:c r="B5" s="7" t="n">
        <x:v>496</x:v>
      </x:c>
      <x:c r="C5" s="7" t="n">
        <x:v>516</x:v>
      </x:c>
      <x:c r="D5" s="7" t="str">
        <x:v>CR-001: +20h</x:v>
      </x:c>
    </x:row>
    <x:row r="6" ht="23" customHeight="1">
      <x:c r="A6" s="7" t="str">
        <x:v>Budget EUR</x:v>
      </x:c>
      <x:c r="B6" s="7" t="n">
        <x:v>42856</x:v>
      </x:c>
      <x:c r="C6" s="7" t="n">
        <x:v>44528</x:v>
      </x:c>
      <x:c r="D6" s="7" t="str">
        <x:v>10% Risikoreserve enthalten</x:v>
      </x:c>
    </x:row>
    <x:row r="7" ht="23" customHeight="1">
      <x:c r="A7" s="7" t="str">
        <x:v>Dauer Wochen</x:v>
      </x:c>
      <x:c r="B7" s="7" t="n">
        <x:v>12</x:v>
      </x:c>
      <x:c r="C7" s="7" t="n">
        <x:v>13</x:v>
      </x:c>
      <x:c r="D7" s="7" t="str">
        <x:v>Geplanter Projektzeitraum (Modellannahme)</x:v>
      </x:c>
    </x:row>
    <x:row r="8" ht="23" customHeight="1">
      <x:c r="A8" s="7" t="str">
        <x:v>Polarion</x:v>
      </x:c>
      <x:c r="B8" s="7" t="str">
        <x:v>Konzept</x:v>
      </x:c>
      <x:c r="C8" s="7" t="str">
        <x:v>Konzept</x:v>
      </x:c>
      <x:c r="D8" s="7" t="str">
        <x:v>KONZEPT, keine echte Instanz</x:v>
      </x:c>
    </x:row>
    <x:row r="9" ht="23" customHeight="1">
      <x:c r="A9" s="7" t="str">
        <x:v>Jira</x:v>
      </x:c>
      <x:c r="B9" s="7" t="str">
        <x:v>Konzept</x:v>
      </x:c>
      <x:c r="C9" s="7" t="str">
        <x:v>Konzept</x:v>
      </x:c>
      <x:c r="D9" s="7" t="str">
        <x:v>leichtes Aufgabenboard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4" hidden="0" customWidth="1"/>
    <x:col min="3" max="3" width="17" hidden="0" customWidth="1"/>
    <x:col min="4" max="4" width="9" hidden="0" customWidth="1"/>
    <x:col min="5" max="5" width="24" hidden="0" customWidth="1"/>
    <x:col min="6" max="6" width="12" hidden="0" customWidth="1"/>
    <x:col min="7" max="7" width="12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18" hidden="0" customWidth="1"/>
  </x:cols>
  <x:sheetData>
    <x:row r="1" ht="30" customHeight="1">
      <x:c r="A1" s="6" t="str">
        <x:v>AP</x:v>
      </x:c>
      <x:c r="B1" s="6" t="str">
        <x:v>Ergebnis</x:v>
      </x:c>
      <x:c r="C1" s="6" t="str">
        <x:v>Rolle</x:v>
      </x:c>
      <x:c r="D1" s="6" t="str">
        <x:v>h</x:v>
      </x:c>
      <x:c r="E1" s="6" t="str">
        <x:v>Vorgaenger</x:v>
      </x:c>
      <x:c r="F1" s="6" t="str">
        <x:v>Start W</x:v>
      </x:c>
      <x:c r="G1" s="6" t="str">
        <x:v>Ende W</x:v>
      </x:c>
      <x:c r="H1" s="6" t="str">
        <x:v>PL</x:v>
      </x:c>
      <x:c r="I1" s="6" t="str">
        <x:v>IoT</x:v>
      </x:c>
      <x:c r="J1" s="6" t="str">
        <x:v>SW</x:v>
      </x:c>
      <x:c r="K1" s="6" t="str">
        <x:v>UI</x:v>
      </x:c>
      <x:c r="L1" s="6" t="str">
        <x:v>QA</x:v>
      </x:c>
      <x:c r="M1" s="6" t="str">
        <x:v>Kosten EUR</x:v>
      </x:c>
    </x:row>
    <x:row r="2" ht="23" customHeight="1">
      <x:c r="A2" s="7" t="str">
        <x:v>AP-01</x:v>
      </x:c>
      <x:c r="B2" s="7" t="str">
        <x:v>Projektauftrag und Stakeholder</x:v>
      </x:c>
      <x:c r="C2" s="7" t="str">
        <x:v>PL</x:v>
      </x:c>
      <x:c r="D2" s="7" t="n">
        <x:v>24</x:v>
      </x:c>
      <x:c r="E2" s="7" t="str"/>
      <x:c r="F2" s="7" t="n">
        <x:v>1</x:v>
      </x:c>
      <x:c r="G2" s="7" t="n">
        <x:v>2</x:v>
      </x:c>
      <x:c r="H2" s="7" t="n">
        <x:v>24</x:v>
      </x:c>
      <x:c r="I2" s="7" t="n">
        <x:v>0</x:v>
      </x:c>
      <x:c r="J2" s="7" t="n">
        <x:v>0</x:v>
      </x:c>
      <x:c r="K2" s="7" t="n">
        <x:v>0</x:v>
      </x:c>
      <x:c r="L2" s="7" t="n">
        <x:v>0</x:v>
      </x:c>
      <x:c r="M2" s="7" t="n">
        <x:v>2040</x:v>
      </x:c>
    </x:row>
    <x:row r="3" ht="23" customHeight="1">
      <x:c r="A3" s="7" t="str">
        <x:v>AP-02</x:v>
      </x:c>
      <x:c r="B3" s="7" t="str">
        <x:v>Requirements, Architektur und Datenvertrag</x:v>
      </x:c>
      <x:c r="C3" s="7" t="str">
        <x:v>PL / SW</x:v>
      </x:c>
      <x:c r="D3" s="7" t="n">
        <x:v>48</x:v>
      </x:c>
      <x:c r="E3" s="7" t="str">
        <x:v>AP-01</x:v>
      </x:c>
      <x:c r="F3" s="7" t="n">
        <x:v>3</x:v>
      </x:c>
      <x:c r="G3" s="7" t="n">
        <x:v>4</x:v>
      </x:c>
      <x:c r="H3" s="7" t="n">
        <x:v>16</x:v>
      </x:c>
      <x:c r="I3" s="7" t="n">
        <x:v>0</x:v>
      </x:c>
      <x:c r="J3" s="7" t="n">
        <x:v>32</x:v>
      </x:c>
      <x:c r="K3" s="7" t="n">
        <x:v>0</x:v>
      </x:c>
      <x:c r="L3" s="7" t="n">
        <x:v>0</x:v>
      </x:c>
      <x:c r="M3" s="7" t="n">
        <x:v>3920</x:v>
      </x:c>
    </x:row>
    <x:row r="4" ht="23" customHeight="1">
      <x:c r="A4" s="7" t="str">
        <x:v>AP-03</x:v>
      </x:c>
      <x:c r="B4" s="7" t="str">
        <x:v>Simulator und synthetische Messdaten</x:v>
      </x:c>
      <x:c r="C4" s="7" t="str">
        <x:v>IoT</x:v>
      </x:c>
      <x:c r="D4" s="7" t="n">
        <x:v>64</x:v>
      </x:c>
      <x:c r="E4" s="7" t="str">
        <x:v>AP-02</x:v>
      </x:c>
      <x:c r="F4" s="7" t="n">
        <x:v>5</x:v>
      </x:c>
      <x:c r="G4" s="7" t="n">
        <x:v>7</x:v>
      </x:c>
      <x:c r="H4" s="7" t="n">
        <x:v>0</x:v>
      </x:c>
      <x:c r="I4" s="7" t="n">
        <x:v>64</x:v>
      </x:c>
      <x:c r="J4" s="7" t="n">
        <x:v>0</x:v>
      </x:c>
      <x:c r="K4" s="7" t="n">
        <x:v>0</x:v>
      </x:c>
      <x:c r="L4" s="7" t="n">
        <x:v>0</x:v>
      </x:c>
      <x:c r="M4" s="7" t="n">
        <x:v>4800</x:v>
      </x:c>
    </x:row>
    <x:row r="5" ht="23" customHeight="1">
      <x:c r="A5" s="7" t="str">
        <x:v>AP-04</x:v>
      </x:c>
      <x:c r="B5" s="7" t="str">
        <x:v>MQTT-Ingestion und Validierung</x:v>
      </x:c>
      <x:c r="C5" s="7" t="str">
        <x:v>IoT / SW</x:v>
      </x:c>
      <x:c r="D5" s="7" t="n">
        <x:v>56</x:v>
      </x:c>
      <x:c r="E5" s="7" t="str">
        <x:v>AP-02</x:v>
      </x:c>
      <x:c r="F5" s="7" t="n">
        <x:v>5</x:v>
      </x:c>
      <x:c r="G5" s="7" t="n">
        <x:v>7</x:v>
      </x:c>
      <x:c r="H5" s="7" t="n">
        <x:v>0</x:v>
      </x:c>
      <x:c r="I5" s="7" t="n">
        <x:v>40</x:v>
      </x:c>
      <x:c r="J5" s="7" t="n">
        <x:v>16</x:v>
      </x:c>
      <x:c r="K5" s="7" t="n">
        <x:v>0</x:v>
      </x:c>
      <x:c r="L5" s="7" t="n">
        <x:v>0</x:v>
      </x:c>
      <x:c r="M5" s="7" t="n">
        <x:v>4280</x:v>
      </x:c>
    </x:row>
    <x:row r="6" ht="23" customHeight="1">
      <x:c r="A6" s="7" t="str">
        <x:v>AP-05</x:v>
      </x:c>
      <x:c r="B6" s="7" t="str">
        <x:v>Datenbank und Ereignisarchiv</x:v>
      </x:c>
      <x:c r="C6" s="7" t="str">
        <x:v>SW</x:v>
      </x:c>
      <x:c r="D6" s="7" t="n">
        <x:v>48</x:v>
      </x:c>
      <x:c r="E6" s="7" t="str">
        <x:v>AP-04</x:v>
      </x:c>
      <x:c r="F6" s="7" t="n">
        <x:v>8</x:v>
      </x:c>
      <x:c r="G6" s="7" t="n">
        <x:v>9</x:v>
      </x:c>
      <x:c r="H6" s="7" t="n">
        <x:v>0</x:v>
      </x:c>
      <x:c r="I6" s="7" t="n">
        <x:v>0</x:v>
      </x:c>
      <x:c r="J6" s="7" t="n">
        <x:v>48</x:v>
      </x:c>
      <x:c r="K6" s="7" t="n">
        <x:v>0</x:v>
      </x:c>
      <x:c r="L6" s="7" t="n">
        <x:v>0</x:v>
      </x:c>
      <x:c r="M6" s="7" t="n">
        <x:v>3840</x:v>
      </x:c>
    </x:row>
    <x:row r="7" ht="23" customHeight="1">
      <x:c r="A7" s="7" t="str">
        <x:v>AP-06</x:v>
      </x:c>
      <x:c r="B7" s="7" t="str">
        <x:v>Grenzwert- und Alarmverarbeitung</x:v>
      </x:c>
      <x:c r="C7" s="7" t="str">
        <x:v>SW</x:v>
      </x:c>
      <x:c r="D7" s="7" t="n">
        <x:v>56</x:v>
      </x:c>
      <x:c r="E7" s="7" t="str">
        <x:v>AP-04</x:v>
      </x:c>
      <x:c r="F7" s="7" t="n">
        <x:v>8</x:v>
      </x:c>
      <x:c r="G7" s="7" t="n">
        <x:v>9</x:v>
      </x:c>
      <x:c r="H7" s="7" t="n">
        <x:v>0</x:v>
      </x:c>
      <x:c r="I7" s="7" t="n">
        <x:v>0</x:v>
      </x:c>
      <x:c r="J7" s="7" t="n">
        <x:v>56</x:v>
      </x:c>
      <x:c r="K7" s="7" t="n">
        <x:v>0</x:v>
      </x:c>
      <x:c r="L7" s="7" t="n">
        <x:v>0</x:v>
      </x:c>
      <x:c r="M7" s="7" t="n">
        <x:v>4480</x:v>
      </x:c>
    </x:row>
    <x:row r="8" ht="23" customHeight="1">
      <x:c r="A8" s="7" t="str">
        <x:v>AP-07</x:v>
      </x:c>
      <x:c r="B8" s="7" t="str">
        <x:v>Dashboard und Bedienoberflaeche</x:v>
      </x:c>
      <x:c r="C8" s="7" t="str">
        <x:v>UI / IoT</x:v>
      </x:c>
      <x:c r="D8" s="7" t="n">
        <x:v>72</x:v>
      </x:c>
      <x:c r="E8" s="7" t="str">
        <x:v>AP-02</x:v>
      </x:c>
      <x:c r="F8" s="7" t="n">
        <x:v>7</x:v>
      </x:c>
      <x:c r="G8" s="7" t="n">
        <x:v>10</x:v>
      </x:c>
      <x:c r="H8" s="7" t="n">
        <x:v>0</x:v>
      </x:c>
      <x:c r="I8" s="7" t="n">
        <x:v>8</x:v>
      </x:c>
      <x:c r="J8" s="7" t="n">
        <x:v>0</x:v>
      </x:c>
      <x:c r="K8" s="7" t="n">
        <x:v>64</x:v>
      </x:c>
      <x:c r="L8" s="7" t="n">
        <x:v>0</x:v>
      </x:c>
      <x:c r="M8" s="7" t="n">
        <x:v>5080</x:v>
      </x:c>
    </x:row>
    <x:row r="9" ht="23" customHeight="1">
      <x:c r="A9" s="7" t="str">
        <x:v>AP-08</x:v>
      </x:c>
      <x:c r="B9" s="7" t="str">
        <x:v>Integration der Komponenten</x:v>
      </x:c>
      <x:c r="C9" s="7" t="str">
        <x:v>IoT / SW / UI</x:v>
      </x:c>
      <x:c r="D9" s="7" t="n">
        <x:v>48</x:v>
      </x:c>
      <x:c r="E9" s="7" t="str">
        <x:v>AP-03, AP-05, AP-06, AP-07</x:v>
      </x:c>
      <x:c r="F9" s="7" t="n">
        <x:v>10</x:v>
      </x:c>
      <x:c r="G9" s="7" t="n">
        <x:v>11</x:v>
      </x:c>
      <x:c r="H9" s="7" t="n">
        <x:v>0</x:v>
      </x:c>
      <x:c r="I9" s="7" t="n">
        <x:v>24</x:v>
      </x:c>
      <x:c r="J9" s="7" t="n">
        <x:v>0</x:v>
      </x:c>
      <x:c r="K9" s="7" t="n">
        <x:v>24</x:v>
      </x:c>
      <x:c r="L9" s="7" t="n">
        <x:v>0</x:v>
      </x:c>
      <x:c r="M9" s="7" t="n">
        <x:v>3480</x:v>
      </x:c>
    </x:row>
    <x:row r="10" ht="23" customHeight="1">
      <x:c r="A10" s="7" t="str">
        <x:v>AP-09</x:v>
      </x:c>
      <x:c r="B10" s="7" t="str">
        <x:v>Testplanung und technische Verifikation</x:v>
      </x:c>
      <x:c r="C10" s="7" t="str">
        <x:v>QA / PL</x:v>
      </x:c>
      <x:c r="D10" s="7" t="n">
        <x:v>56</x:v>
      </x:c>
      <x:c r="E10" s="7" t="str">
        <x:v>AP-02</x:v>
      </x:c>
      <x:c r="F10" s="7" t="n">
        <x:v>9</x:v>
      </x:c>
      <x:c r="G10" s="7" t="n">
        <x:v>11</x:v>
      </x:c>
      <x:c r="H10" s="7" t="n">
        <x:v>16</x:v>
      </x:c>
      <x:c r="I10" s="7" t="n">
        <x:v>0</x:v>
      </x:c>
      <x:c r="J10" s="7" t="n">
        <x:v>0</x:v>
      </x:c>
      <x:c r="K10" s="7" t="n">
        <x:v>0</x:v>
      </x:c>
      <x:c r="L10" s="7" t="n">
        <x:v>40</x:v>
      </x:c>
      <x:c r="M10" s="7" t="n">
        <x:v>4160</x:v>
      </x:c>
    </x:row>
    <x:row r="11" ht="23" customHeight="1">
      <x:c r="A11" s="7" t="str">
        <x:v>AP-10</x:v>
      </x:c>
      <x:c r="B11" s="7" t="str">
        <x:v>Abnahme und Abschluss</x:v>
      </x:c>
      <x:c r="C11" s="7" t="str">
        <x:v>QA / UI</x:v>
      </x:c>
      <x:c r="D11" s="7" t="n">
        <x:v>24</x:v>
      </x:c>
      <x:c r="E11" s="7" t="str">
        <x:v>AP-08, AP-09</x:v>
      </x:c>
      <x:c r="F11" s="7" t="n">
        <x:v>12</x:v>
      </x:c>
      <x:c r="G11" s="7" t="n">
        <x:v>12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24</x:v>
      </x:c>
      <x:c r="M11" s="7" t="n">
        <x:v>1680</x:v>
      </x:c>
    </x:row>
    <x:row r="12">
      <x:c r="D12" t="n">
        <x:f>SUM(D2:D11)</x:f>
        <x:v>496</x:v>
      </x:c>
      <x:c r="M12" t="n">
        <x:f>SUM(M2:M11)</x:f>
        <x:v>37760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18" hidden="0" customWidth="1"/>
    <x:col min="4" max="4" width="23" hidden="0" customWidth="1"/>
    <x:col min="5" max="5" width="25" hidden="0" customWidth="1"/>
  </x:cols>
  <x:sheetData>
    <x:row r="1" ht="30" customHeight="1">
      <x:c r="A1" s="6" t="str">
        <x:v>Rolle</x:v>
      </x:c>
      <x:c r="B1" s="6" t="str">
        <x:v>Stunden</x:v>
      </x:c>
      <x:c r="C1" s="6" t="str">
        <x:v>Satz EUR/h</x:v>
      </x:c>
      <x:c r="D1" s="6" t="str">
        <x:v>Personalkosten EUR</x:v>
      </x:c>
      <x:c r="E1" s="6" t="str">
        <x:v>Kapazitaet pro Woche</x:v>
      </x:c>
    </x:row>
    <x:row r="2" ht="23" customHeight="1">
      <x:c r="A2" s="7" t="str">
        <x:v>Projektleitung</x:v>
      </x:c>
      <x:c r="B2" s="7" t="n">
        <x:v>56</x:v>
      </x:c>
      <x:c r="C2" s="7" t="n">
        <x:v>85</x:v>
      </x:c>
      <x:c r="D2" s="7" t="n">
        <x:f>B2*C2</x:f>
        <x:v>4760</x:v>
      </x:c>
      <x:c r="E2" s="7" t="n">
        <x:v>16</x:v>
      </x:c>
    </x:row>
    <x:row r="3" ht="23" customHeight="1">
      <x:c r="A3" s="7" t="str">
        <x:v>IoT-Entwicklung</x:v>
      </x:c>
      <x:c r="B3" s="7" t="n">
        <x:v>136</x:v>
      </x:c>
      <x:c r="C3" s="7" t="n">
        <x:v>75</x:v>
      </x:c>
      <x:c r="D3" s="7" t="n">
        <x:f>B3*C3</x:f>
        <x:v>10200</x:v>
      </x:c>
      <x:c r="E3" s="7" t="n">
        <x:v>40</x:v>
      </x:c>
    </x:row>
    <x:row r="4" ht="23" customHeight="1">
      <x:c r="A4" s="7" t="str">
        <x:v>Softwareentwicklung</x:v>
      </x:c>
      <x:c r="B4" s="7" t="n">
        <x:v>152</x:v>
      </x:c>
      <x:c r="C4" s="7" t="n">
        <x:v>80</x:v>
      </x:c>
      <x:c r="D4" s="7" t="n">
        <x:f>B4*C4</x:f>
        <x:v>12160</x:v>
      </x:c>
      <x:c r="E4" s="7" t="n">
        <x:v>40</x:v>
      </x:c>
    </x:row>
    <x:row r="5" ht="23" customHeight="1">
      <x:c r="A5" s="7" t="str">
        <x:v>Dashboard-Entwicklung</x:v>
      </x:c>
      <x:c r="B5" s="7" t="n">
        <x:v>88</x:v>
      </x:c>
      <x:c r="C5" s="7" t="n">
        <x:v>70</x:v>
      </x:c>
      <x:c r="D5" s="7" t="n">
        <x:f>B5*C5</x:f>
        <x:v>6160</x:v>
      </x:c>
      <x:c r="E5" s="7" t="n">
        <x:v>24</x:v>
      </x:c>
    </x:row>
    <x:row r="6" ht="23" customHeight="1">
      <x:c r="A6" s="7" t="str">
        <x:v>Qualitaetssicherung</x:v>
      </x:c>
      <x:c r="B6" s="7" t="n">
        <x:v>64</x:v>
      </x:c>
      <x:c r="C6" s="7" t="n">
        <x:v>70</x:v>
      </x:c>
      <x:c r="D6" s="7" t="n">
        <x:f>B6*C6</x:f>
        <x:v>4480</x:v>
      </x:c>
      <x:c r="E6" s="7" t="n">
        <x:v>24</x:v>
      </x:c>
    </x:row>
    <x:row r="7">
      <x:c r="A7" t="str">
        <x:v>Summe</x:v>
      </x:c>
      <x:c r="B7" t="n">
        <x:f>SUM(B2:B6)</x:f>
        <x:v>496</x:v>
      </x:c>
      <x:c r="D7" t="n">
        <x:f>SUM(D2:D6)</x:f>
        <x:v>37760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</x:cols>
  <x:sheetData>
    <x:row r="1" ht="30" customHeight="1">
      <x:c r="A1" s="6" t="str">
        <x:v>Position</x:v>
      </x:c>
      <x:c r="B1" s="6" t="str">
        <x:v>B1 EUR</x:v>
      </x:c>
      <x:c r="C1" s="6" t="str">
        <x:v>B2 EUR</x:v>
      </x:c>
    </x:row>
    <x:row r="2" ht="23" customHeight="1">
      <x:c r="A2" s="7" t="str">
        <x:v>Personal</x:v>
      </x:c>
      <x:c r="B2" s="7" t="n">
        <x:v>37760</x:v>
      </x:c>
      <x:c r="C2" s="7" t="n">
        <x:v>39280</x:v>
      </x:c>
    </x:row>
    <x:row r="3" ht="23" customHeight="1">
      <x:c r="A3" s="7" t="str">
        <x:v>Cloud (12 Monate)</x:v>
      </x:c>
      <x:c r="B3" s="7" t="n">
        <x:v>480</x:v>
      </x:c>
      <x:c r="C3" s="7" t="n">
        <x:v>480</x:v>
      </x:c>
    </x:row>
    <x:row r="4" ht="23" customHeight="1">
      <x:c r="A4" s="7" t="str">
        <x:v>Backup</x:v>
      </x:c>
      <x:c r="B4" s="7" t="n">
        <x:v>180</x:v>
      </x:c>
      <x:c r="C4" s="7" t="n">
        <x:v>180</x:v>
      </x:c>
    </x:row>
    <x:row r="5" ht="23" customHeight="1">
      <x:c r="A5" s="7" t="str">
        <x:v>Testumgebung</x:v>
      </x:c>
      <x:c r="B5" s="7" t="n">
        <x:v>240</x:v>
      </x:c>
      <x:c r="C5" s="7" t="n">
        <x:v>240</x:v>
      </x:c>
    </x:row>
    <x:row r="6" ht="23" customHeight="1">
      <x:c r="A6" s="7" t="str">
        <x:v>Dokumentation</x:v>
      </x:c>
      <x:c r="B6" s="7" t="n">
        <x:v>180</x:v>
      </x:c>
      <x:c r="C6" s="7" t="n">
        <x:v>180</x:v>
      </x:c>
    </x:row>
    <x:row r="7" ht="23" customHeight="1">
      <x:c r="A7" s="7" t="str">
        <x:v>Peripherie</x:v>
      </x:c>
      <x:c r="B7" s="7" t="n">
        <x:v>120</x:v>
      </x:c>
      <x:c r="C7" s="7" t="n">
        <x:v>120</x:v>
      </x:c>
    </x:row>
    <x:row r="8" ht="23" customHeight="1">
      <x:c r="A8" s="7" t="str">
        <x:v>Sachkosten gesamt</x:v>
      </x:c>
      <x:c r="B8" s="7" t="n">
        <x:f>SUM(B3:B7)</x:f>
        <x:v>1200</x:v>
      </x:c>
      <x:c r="C8" s="7" t="n">
        <x:f>SUM(C3:C7)</x:f>
        <x:v>1200</x:v>
      </x:c>
    </x:row>
    <x:row r="9" ht="23" customHeight="1">
      <x:c r="A9" s="7" t="str">
        <x:v>Basisbudget</x:v>
      </x:c>
      <x:c r="B9" s="7" t="n">
        <x:f>B2+B8</x:f>
        <x:v>38960</x:v>
      </x:c>
      <x:c r="C9" s="7" t="n">
        <x:f>C2+C8</x:f>
        <x:v>40480</x:v>
      </x:c>
    </x:row>
    <x:row r="10" ht="23" customHeight="1">
      <x:c r="A10" s="7" t="str">
        <x:v>Reserve 10%</x:v>
      </x:c>
      <x:c r="B10" s="7" t="n">
        <x:f>B9*0.1</x:f>
        <x:v>3896</x:v>
      </x:c>
      <x:c r="C10" s="7" t="n">
        <x:f>C9*0.1</x:f>
        <x:v>4048</x:v>
      </x:c>
    </x:row>
    <x:row r="11" ht="23" customHeight="1">
      <x:c r="A11" s="7" t="str">
        <x:v>Gesamtbudget</x:v>
      </x:c>
      <x:c r="B11" s="7" t="n">
        <x:f>B9+B10</x:f>
        <x:v>42856</x:v>
      </x:c>
      <x:c r="C11" s="7" t="n">
        <x:f>C9+C10</x:f>
        <x:v>44528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6" hidden="0" customWidth="1"/>
    <x:col min="4" max="4" width="6" hidden="0" customWidth="1"/>
    <x:col min="5" max="5" width="6" hidden="0" customWidth="1"/>
    <x:col min="6" max="6" width="6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</x:cols>
  <x:sheetData>
    <x:row r="1" ht="30" customHeight="1">
      <x:c r="A1" s="6" t="str">
        <x:v>AP</x:v>
      </x:c>
      <x:c r="B1" s="6" t="str">
        <x:v>Titel</x:v>
      </x:c>
      <x:c r="C1" s="6" t="str">
        <x:v>W1</x:v>
      </x:c>
      <x:c r="D1" s="6" t="str">
        <x:v>W2</x:v>
      </x:c>
      <x:c r="E1" s="6" t="str">
        <x:v>W3</x:v>
      </x:c>
      <x:c r="F1" s="6" t="str">
        <x:v>W4</x:v>
      </x:c>
      <x:c r="G1" s="6" t="str">
        <x:v>W5</x:v>
      </x:c>
      <x:c r="H1" s="6" t="str">
        <x:v>W6</x:v>
      </x:c>
      <x:c r="I1" s="6" t="str">
        <x:v>W7</x:v>
      </x:c>
      <x:c r="J1" s="6" t="str">
        <x:v>W8</x:v>
      </x:c>
      <x:c r="K1" s="6" t="str">
        <x:v>W9</x:v>
      </x:c>
      <x:c r="L1" s="6" t="str">
        <x:v>W10</x:v>
      </x:c>
      <x:c r="M1" s="6" t="str">
        <x:v>W11</x:v>
      </x:c>
      <x:c r="N1" s="6" t="str">
        <x:v>W12</x:v>
      </x:c>
      <x:c r="O1" s="6" t="str">
        <x:v>W13</x:v>
      </x:c>
    </x:row>
    <x:row r="2" ht="23" customHeight="1">
      <x:c r="A2" s="7" t="str">
        <x:v>AP-01</x:v>
      </x:c>
      <x:c r="B2" s="7" t="str">
        <x:v>Projektauftrag und Stakeholder</x:v>
      </x:c>
      <x:c r="C2" s="7" t="str">
        <x:v>X</x:v>
      </x:c>
      <x:c r="D2" s="7" t="str">
        <x:v>X</x:v>
      </x:c>
      <x:c r="E2" s="7" t="str"/>
      <x:c r="F2" s="7" t="str"/>
      <x:c r="G2" s="7" t="str"/>
      <x:c r="H2" s="7" t="str"/>
      <x:c r="I2" s="7" t="str"/>
      <x:c r="J2" s="7" t="str"/>
      <x:c r="K2" s="7" t="str"/>
      <x:c r="L2" s="7" t="str"/>
      <x:c r="M2" s="7" t="str"/>
      <x:c r="N2" s="7" t="str"/>
      <x:c r="O2" s="7" t="str"/>
    </x:row>
    <x:row r="3" ht="23" customHeight="1">
      <x:c r="A3" s="7" t="str">
        <x:v>AP-02</x:v>
      </x:c>
      <x:c r="B3" s="7" t="str">
        <x:v>Requirements, Architektur und Datenvertrag</x:v>
      </x:c>
      <x:c r="C3" s="7" t="str"/>
      <x:c r="D3" s="7" t="str"/>
      <x:c r="E3" s="7" t="str">
        <x:v>X</x:v>
      </x:c>
      <x:c r="F3" s="7" t="str">
        <x:v>X</x:v>
      </x:c>
      <x:c r="G3" s="7" t="str"/>
      <x:c r="H3" s="7" t="str"/>
      <x:c r="I3" s="7" t="str"/>
      <x:c r="J3" s="7" t="str"/>
      <x:c r="K3" s="7" t="str"/>
      <x:c r="L3" s="7" t="str"/>
      <x:c r="M3" s="7" t="str"/>
      <x:c r="N3" s="7" t="str"/>
      <x:c r="O3" s="7" t="str"/>
    </x:row>
    <x:row r="4" ht="23" customHeight="1">
      <x:c r="A4" s="7" t="str">
        <x:v>AP-03</x:v>
      </x:c>
      <x:c r="B4" s="7" t="str">
        <x:v>Simulator und synthetische Messdaten</x:v>
      </x:c>
      <x:c r="C4" s="7" t="str"/>
      <x:c r="D4" s="7" t="str"/>
      <x:c r="E4" s="7" t="str"/>
      <x:c r="F4" s="7" t="str"/>
      <x:c r="G4" s="7" t="str">
        <x:v>X</x:v>
      </x:c>
      <x:c r="H4" s="7" t="str">
        <x:v>X</x:v>
      </x:c>
      <x:c r="I4" s="7" t="str">
        <x:v>X</x:v>
      </x:c>
      <x:c r="J4" s="7" t="str"/>
      <x:c r="K4" s="7" t="str"/>
      <x:c r="L4" s="7" t="str"/>
      <x:c r="M4" s="7" t="str"/>
      <x:c r="N4" s="7" t="str"/>
      <x:c r="O4" s="7" t="str"/>
    </x:row>
    <x:row r="5" ht="23" customHeight="1">
      <x:c r="A5" s="7" t="str">
        <x:v>AP-04</x:v>
      </x:c>
      <x:c r="B5" s="7" t="str">
        <x:v>MQTT-Ingestion und Validierung</x:v>
      </x:c>
      <x:c r="C5" s="7" t="str"/>
      <x:c r="D5" s="7" t="str"/>
      <x:c r="E5" s="7" t="str"/>
      <x:c r="F5" s="7" t="str"/>
      <x:c r="G5" s="7" t="str">
        <x:v>X</x:v>
      </x:c>
      <x:c r="H5" s="7" t="str">
        <x:v>X</x:v>
      </x:c>
      <x:c r="I5" s="7" t="str">
        <x:v>X</x:v>
      </x:c>
      <x:c r="J5" s="7" t="str"/>
      <x:c r="K5" s="7" t="str"/>
      <x:c r="L5" s="7" t="str"/>
      <x:c r="M5" s="7" t="str"/>
      <x:c r="N5" s="7" t="str"/>
      <x:c r="O5" s="7" t="str"/>
    </x:row>
    <x:row r="6" ht="23" customHeight="1">
      <x:c r="A6" s="7" t="str">
        <x:v>AP-05</x:v>
      </x:c>
      <x:c r="B6" s="7" t="str">
        <x:v>Datenbank und Ereignisarchiv</x:v>
      </x:c>
      <x:c r="C6" s="7" t="str"/>
      <x:c r="D6" s="7" t="str"/>
      <x:c r="E6" s="7" t="str"/>
      <x:c r="F6" s="7" t="str"/>
      <x:c r="G6" s="7" t="str"/>
      <x:c r="H6" s="7" t="str"/>
      <x:c r="I6" s="7" t="str"/>
      <x:c r="J6" s="7" t="str">
        <x:v>X</x:v>
      </x:c>
      <x:c r="K6" s="7" t="str">
        <x:v>X</x:v>
      </x:c>
      <x:c r="L6" s="7" t="str"/>
      <x:c r="M6" s="7" t="str"/>
      <x:c r="N6" s="7" t="str"/>
      <x:c r="O6" s="7" t="str"/>
    </x:row>
    <x:row r="7" ht="23" customHeight="1">
      <x:c r="A7" s="7" t="str">
        <x:v>AP-06</x:v>
      </x:c>
      <x:c r="B7" s="7" t="str">
        <x:v>Grenzwert- und Alarmverarbeitung</x:v>
      </x:c>
      <x:c r="C7" s="7" t="str"/>
      <x:c r="D7" s="7" t="str"/>
      <x:c r="E7" s="7" t="str"/>
      <x:c r="F7" s="7" t="str"/>
      <x:c r="G7" s="7" t="str"/>
      <x:c r="H7" s="7" t="str"/>
      <x:c r="I7" s="7" t="str"/>
      <x:c r="J7" s="7" t="str">
        <x:v>X</x:v>
      </x:c>
      <x:c r="K7" s="7" t="str">
        <x:v>X</x:v>
      </x:c>
      <x:c r="L7" s="7" t="str"/>
      <x:c r="M7" s="7" t="str"/>
      <x:c r="N7" s="7" t="str"/>
      <x:c r="O7" s="7" t="str"/>
    </x:row>
    <x:row r="8" ht="23" customHeight="1">
      <x:c r="A8" s="7" t="str">
        <x:v>AP-07</x:v>
      </x:c>
      <x:c r="B8" s="7" t="str">
        <x:v>Dashboard und Bedienoberflaeche</x:v>
      </x:c>
      <x:c r="C8" s="7" t="str"/>
      <x:c r="D8" s="7" t="str"/>
      <x:c r="E8" s="7" t="str"/>
      <x:c r="F8" s="7" t="str"/>
      <x:c r="G8" s="7" t="str"/>
      <x:c r="H8" s="7" t="str"/>
      <x:c r="I8" s="7" t="str">
        <x:v>X</x:v>
      </x:c>
      <x:c r="J8" s="7" t="str">
        <x:v>X</x:v>
      </x:c>
      <x:c r="K8" s="7" t="str">
        <x:v>X</x:v>
      </x:c>
      <x:c r="L8" s="7" t="str">
        <x:v>X</x:v>
      </x:c>
      <x:c r="M8" s="7" t="str"/>
      <x:c r="N8" s="7" t="str"/>
      <x:c r="O8" s="7" t="str"/>
    </x:row>
    <x:row r="9" ht="23" customHeight="1">
      <x:c r="A9" s="7" t="str">
        <x:v>AP-08</x:v>
      </x:c>
      <x:c r="B9" s="7" t="str">
        <x:v>Integration der Komponenten</x:v>
      </x:c>
      <x:c r="C9" s="7" t="str"/>
      <x:c r="D9" s="7" t="str"/>
      <x:c r="E9" s="7" t="str"/>
      <x:c r="F9" s="7" t="str"/>
      <x:c r="G9" s="7" t="str"/>
      <x:c r="H9" s="7" t="str"/>
      <x:c r="I9" s="7" t="str"/>
      <x:c r="J9" s="7" t="str"/>
      <x:c r="K9" s="7" t="str"/>
      <x:c r="L9" s="7" t="str">
        <x:v>X</x:v>
      </x:c>
      <x:c r="M9" s="7" t="str">
        <x:v>X</x:v>
      </x:c>
      <x:c r="N9" s="7" t="str"/>
      <x:c r="O9" s="7" t="str"/>
    </x:row>
    <x:row r="10" ht="23" customHeight="1">
      <x:c r="A10" s="7" t="str">
        <x:v>AP-09</x:v>
      </x:c>
      <x:c r="B10" s="7" t="str">
        <x:v>Testplanung und technische Verifikation</x:v>
      </x:c>
      <x:c r="C10" s="7" t="str"/>
      <x:c r="D10" s="7" t="str"/>
      <x:c r="E10" s="7" t="str"/>
      <x:c r="F10" s="7" t="str"/>
      <x:c r="G10" s="7" t="str"/>
      <x:c r="H10" s="7" t="str"/>
      <x:c r="I10" s="7" t="str"/>
      <x:c r="J10" s="7" t="str"/>
      <x:c r="K10" s="7" t="str">
        <x:v>X</x:v>
      </x:c>
      <x:c r="L10" s="7" t="str">
        <x:v>X</x:v>
      </x:c>
      <x:c r="M10" s="7" t="str">
        <x:v>X</x:v>
      </x:c>
      <x:c r="N10" s="7" t="str"/>
      <x:c r="O10" s="7" t="str"/>
    </x:row>
    <x:row r="11" ht="23" customHeight="1">
      <x:c r="A11" s="7" t="str">
        <x:v>AP-10</x:v>
      </x:c>
      <x:c r="B11" s="7" t="str">
        <x:v>Abnahme und Abschluss</x:v>
      </x:c>
      <x:c r="C11" s="7" t="str"/>
      <x:c r="D11" s="7" t="str"/>
      <x:c r="E11" s="7" t="str"/>
      <x:c r="F11" s="7" t="str"/>
      <x:c r="G11" s="7" t="str"/>
      <x:c r="H11" s="7" t="str"/>
      <x:c r="I11" s="7" t="str"/>
      <x:c r="J11" s="7" t="str"/>
      <x:c r="K11" s="7" t="str"/>
      <x:c r="L11" s="7" t="str"/>
      <x:c r="M11" s="7" t="str"/>
      <x:c r="N11" s="7" t="str">
        <x:v>X</x:v>
      </x:c>
      <x:c r="O11" s="7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5" hidden="0" customWidth="1"/>
    <x:col min="3" max="3" width="45" hidden="0" customWidth="1"/>
    <x:col min="4" max="4" width="9" hidden="0" customWidth="1"/>
    <x:col min="5" max="5" width="9" hidden="0" customWidth="1"/>
    <x:col min="6" max="6" width="12" hidden="0" customWidth="1"/>
    <x:col min="7" max="7" width="50" hidden="0" customWidth="1"/>
    <x:col min="8" max="8" width="12" hidden="0" customWidth="1"/>
    <x:col min="9" max="9" width="32" hidden="0" customWidth="1"/>
    <x:col min="10" max="10" width="12" hidden="0" customWidth="1"/>
    <x:col min="11" max="11" width="12" hidden="0" customWidth="1"/>
  </x:cols>
  <x:sheetData>
    <x:row r="1" ht="30" customHeight="1">
      <x:c r="A1" s="6" t="str">
        <x:v>ID</x:v>
      </x:c>
      <x:c r="B1" s="6" t="str">
        <x:v>Ursache</x:v>
      </x:c>
      <x:c r="C1" s="6" t="str">
        <x:v>Auswirkung</x:v>
      </x:c>
      <x:c r="D1" s="6" t="str">
        <x:v>W</x:v>
      </x:c>
      <x:c r="E1" s="6" t="str">
        <x:v>A</x:v>
      </x:c>
      <x:c r="F1" s="6" t="str">
        <x:v>Score</x:v>
      </x:c>
      <x:c r="G1" s="6" t="str">
        <x:v>Massnahme</x:v>
      </x:c>
      <x:c r="H1" s="6" t="str">
        <x:v>Rolle</x:v>
      </x:c>
      <x:c r="I1" s="6" t="str">
        <x:v>Trigger</x:v>
      </x:c>
      <x:c r="J1" s="6" t="str">
        <x:v>Rest W</x:v>
      </x:c>
      <x:c r="K1" s="6" t="str">
        <x:v>Rest A</x:v>
      </x:c>
    </x:row>
    <x:row r="2" ht="23" customHeight="1">
      <x:c r="A2" s="7" t="str">
        <x:v>RISK-001</x:v>
      </x:c>
      <x:c r="B2" s="7" t="str">
        <x:v>Schema zwischen Simulator und MQTT passt nicht</x:v>
      </x:c>
      <x:c r="C2" s="7" t="str">
        <x:v>Integration blockiert; AP-04/AP-08 verzoegert</x:v>
      </x:c>
      <x:c r="D2" s="7" t="n">
        <x:v>2</x:v>
      </x:c>
      <x:c r="E2" s="7" t="n">
        <x:v>3</x:v>
      </x:c>
      <x:c r="F2" s="7" t="n">
        <x:f>D2*E2</x:f>
        <x:v>6</x:v>
      </x:c>
      <x:c r="G2" s="7" t="str">
        <x:v>AP-02 Schema-Vertrag, Mock-Nachrichten und Contract-Tests</x:v>
      </x:c>
      <x:c r="H2" s="7" t="str">
        <x:v>IoT</x:v>
      </x:c>
      <x:c r="I2" s="7" t="str">
        <x:v>Fehlerrate &gt;1% bei Schema-Checks</x:v>
      </x:c>
      <x:c r="J2" s="7" t="n">
        <x:v>1</x:v>
      </x:c>
      <x:c r="K2" s="7" t="n">
        <x:v>2</x:v>
      </x:c>
    </x:row>
    <x:row r="3" ht="23" customHeight="1">
      <x:c r="A3" s="7" t="str">
        <x:v>RISK-002</x:v>
      </x:c>
      <x:c r="B3" s="7" t="str">
        <x:v>MQTT-Broker nicht erreichbar</x:v>
      </x:c>
      <x:c r="C3" s="7" t="str">
        <x:v>Sensordaten treffen nicht ein</x:v>
      </x:c>
      <x:c r="D3" s="7" t="n">
        <x:v>2</x:v>
      </x:c>
      <x:c r="E3" s="7" t="n">
        <x:v>3</x:v>
      </x:c>
      <x:c r="F3" s="7" t="n">
        <x:f>D3*E3</x:f>
        <x:v>6</x:v>
      </x:c>
      <x:c r="G3" s="7" t="str">
        <x:v>Healthcheck, lokaler Testbroker, Wiederverbindungslogik</x:v>
      </x:c>
      <x:c r="H3" s="7" t="str">
        <x:v>IoT</x:v>
      </x:c>
      <x:c r="I3" s="7" t="str">
        <x:v>Verbindung &gt;60 s unterbrochen</x:v>
      </x:c>
      <x:c r="J3" s="7" t="n">
        <x:v>1</x:v>
      </x:c>
      <x:c r="K3" s="7" t="n">
        <x:v>2</x:v>
      </x:c>
    </x:row>
    <x:row r="4" ht="23" customHeight="1">
      <x:c r="A4" s="7" t="str">
        <x:v>RISK-003</x:v>
      </x:c>
      <x:c r="B4" s="7" t="str">
        <x:v>Alarmgrenzwerte missverstanden</x:v>
      </x:c>
      <x:c r="C4" s="7" t="str">
        <x:v>Falsche Alarme oder verpasste Anomalien</x:v>
      </x:c>
      <x:c r="D4" s="7" t="n">
        <x:v>2</x:v>
      </x:c>
      <x:c r="E4" s="7" t="n">
        <x:v>3</x:v>
      </x:c>
      <x:c r="F4" s="7" t="n">
        <x:f>D4*E4</x:f>
        <x:v>6</x:v>
      </x:c>
      <x:c r="G4" s="7" t="str">
        <x:v>Boundary-Tests 80.0/80.1 und 7.0/7.1</x:v>
      </x:c>
      <x:c r="H4" s="7" t="str">
        <x:v>QA</x:v>
      </x:c>
      <x:c r="I4" s="7" t="str">
        <x:v>Abweichung in TEST-004/005</x:v>
      </x:c>
      <x:c r="J4" s="7" t="n">
        <x:v>1</x:v>
      </x:c>
      <x:c r="K4" s="7" t="n">
        <x:v>2</x:v>
      </x:c>
    </x:row>
    <x:row r="5" ht="23" customHeight="1">
      <x:c r="A5" s="7" t="str">
        <x:v>RISK-004</x:v>
      </x:c>
      <x:c r="B5" s="7" t="str">
        <x:v>IoT-Rolle ausgelastet</x:v>
      </x:c>
      <x:c r="C5" s="7" t="str">
        <x:v>Simulator/MQTT Verzug auf kritischem Pfad</x:v>
      </x:c>
      <x:c r="D5" s="7" t="n">
        <x:v>3</x:v>
      </x:c>
      <x:c r="E5" s="7" t="n">
        <x:v>2</x:v>
      </x:c>
      <x:c r="F5" s="7" t="n">
        <x:f>D5*E5</x:f>
        <x:v>6</x:v>
      </x:c>
      <x:c r="G5" s="7" t="str">
        <x:v>Zeitpuffer und Priorisierung nach Schnittstelle</x:v>
      </x:c>
      <x:c r="H5" s="7" t="str">
        <x:v>PL</x:v>
      </x:c>
      <x:c r="I5" s="7" t="str">
        <x:v>&gt;8h Planabweichung in Woche 6</x:v>
      </x:c>
      <x:c r="J5" s="7" t="n">
        <x:v>2</x:v>
      </x:c>
      <x:c r="K5" s="7" t="n">
        <x:v>2</x:v>
      </x:c>
    </x:row>
    <x:row r="6" ht="23" customHeight="1">
      <x:c r="A6" s="7" t="str">
        <x:v>RISK-005</x:v>
      </x:c>
      <x:c r="B6" s="7" t="str">
        <x:v>Hohe Datenlast / Speicherung unvollstaendig</x:v>
      </x:c>
      <x:c r="C6" s="7" t="str">
        <x:v>99%-Ziel verfehlt</x:v>
      </x:c>
      <x:c r="D6" s="7" t="n">
        <x:v>2</x:v>
      </x:c>
      <x:c r="E6" s="7" t="n">
        <x:v>3</x:v>
      </x:c>
      <x:c r="F6" s="7" t="n">
        <x:f>D6*E6</x:f>
        <x:v>6</x:v>
      </x:c>
      <x:c r="G6" s="7" t="str">
        <x:v>Messraten limitieren, Eingangszaehler und DB-Logging</x:v>
      </x:c>
      <x:c r="H6" s="7" t="str">
        <x:v>SW</x:v>
      </x:c>
      <x:c r="I6" s="7" t="str">
        <x:v>Speicherquote &lt;99%</x:v>
      </x:c>
      <x:c r="J6" s="7" t="n">
        <x:v>1</x:v>
      </x:c>
      <x:c r="K6" s="7" t="n">
        <x:v>2</x:v>
      </x:c>
    </x:row>
    <x:row r="7" ht="23" customHeight="1">
      <x:c r="A7" s="7" t="str">
        <x:v>RISK-006</x:v>
      </x:c>
      <x:c r="B7" s="7" t="str">
        <x:v>Kein Zugriff auf eine konfigurierte Polarion-Testinstanz</x:v>
      </x:c>
      <x:c r="C7" s="7" t="str">
        <x:v>ALM-Workflows ohne Testinstanz nicht validierbar</x:v>
      </x:c>
      <x:c r="D7" s="7" t="n">
        <x:v>2</x:v>
      </x:c>
      <x:c r="E7" s="7" t="n">
        <x:v>2</x:v>
      </x:c>
      <x:c r="F7" s="7" t="n">
        <x:f>D7*E7</x:f>
        <x:v>4</x:v>
      </x:c>
      <x:c r="G7" s="7" t="str">
        <x:v>Toolunabhaengige ALM-Konzeptansichten dokumentieren</x:v>
      </x:c>
      <x:c r="H7" s="7" t="str">
        <x:v>PL</x:v>
      </x:c>
      <x:c r="I7" s="7" t="str">
        <x:v>Bis zur Konzeptpruefung keine Testinstanz verfuegbar</x:v>
      </x:c>
      <x:c r="J7" s="7" t="n">
        <x:v>1</x:v>
      </x:c>
      <x:c r="K7" s="7" t="n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6" hidden="0" customWidth="1"/>
    <x:col min="3" max="3" width="10" hidden="0" customWidth="1"/>
    <x:col min="4" max="4" width="17" hidden="0" customWidth="1"/>
    <x:col min="5" max="5" width="17" hidden="0" customWidth="1"/>
    <x:col min="6" max="6" width="17" hidden="0" customWidth="1"/>
    <x:col min="7" max="7" width="54" hidden="0" customWidth="1"/>
  </x:cols>
  <x:sheetData>
    <x:row r="1" ht="30" customHeight="1">
      <x:c r="A1" s="6" t="str">
        <x:v>ID</x:v>
      </x:c>
      <x:c r="B1" s="6" t="str">
        <x:v>Titel</x:v>
      </x:c>
      <x:c r="C1" s="6" t="str">
        <x:v>Typ</x:v>
      </x:c>
      <x:c r="D1" s="6" t="str">
        <x:v>Version B2</x:v>
      </x:c>
      <x:c r="E1" s="6" t="str">
        <x:v>Arbeitspaket</x:v>
      </x:c>
      <x:c r="F1" s="6" t="str">
        <x:v>Test</x:v>
      </x:c>
      <x:c r="G1" s="6" t="str">
        <x:v>Akzeptanzkriterium</x:v>
      </x:c>
    </x:row>
    <x:row r="2" ht="23" customHeight="1">
      <x:c r="A2" s="7" t="str">
        <x:v>REQ-001</x:v>
      </x:c>
      <x:c r="B2" s="7" t="str">
        <x:v>Maschinenidentifikation</x:v>
      </x:c>
      <x:c r="C2" s="7" t="str">
        <x:v>F</x:v>
      </x:c>
      <x:c r="D2" s="7" t="str">
        <x:v>1.0</x:v>
      </x:c>
      <x:c r="E2" s="7" t="str">
        <x:v>AP-04</x:v>
      </x:c>
      <x:c r="F2" s="7" t="str">
        <x:v>TEST-001</x:v>
      </x:c>
      <x:c r="G2" s="7" t="str">
        <x:v>10 gueltige IDs korrekt zugeordnet</x:v>
      </x:c>
    </x:row>
    <x:row r="3" ht="23" customHeight="1">
      <x:c r="A3" s="7" t="str">
        <x:v>REQ-002</x:v>
      </x:c>
      <x:c r="B3" s="7" t="str">
        <x:v>Temperaturmesswert</x:v>
      </x:c>
      <x:c r="C3" s="7" t="str">
        <x:v>F</x:v>
      </x:c>
      <x:c r="D3" s="7" t="str">
        <x:v>1.0</x:v>
      </x:c>
      <x:c r="E3" s="7" t="str">
        <x:v>AP-04</x:v>
      </x:c>
      <x:c r="F3" s="7" t="str">
        <x:v>TEST-002</x:v>
      </x:c>
      <x:c r="G3" s="7" t="str">
        <x:v>Wert 83.5 unveraendert eingelesen</x:v>
      </x:c>
    </x:row>
    <x:row r="4" ht="23" customHeight="1">
      <x:c r="A4" s="7" t="str">
        <x:v>REQ-003</x:v>
      </x:c>
      <x:c r="B4" s="7" t="str">
        <x:v>Vibrationsmesswert</x:v>
      </x:c>
      <x:c r="C4" s="7" t="str">
        <x:v>F</x:v>
      </x:c>
      <x:c r="D4" s="7" t="str">
        <x:v>1.0</x:v>
      </x:c>
      <x:c r="E4" s="7" t="str">
        <x:v>AP-04</x:v>
      </x:c>
      <x:c r="F4" s="7" t="str">
        <x:v>TEST-002</x:v>
      </x:c>
      <x:c r="G4" s="7" t="str">
        <x:v>Wert 4.2 unveraendert eingelesen</x:v>
      </x:c>
    </x:row>
    <x:row r="5" ht="23" customHeight="1">
      <x:c r="A5" s="7" t="str">
        <x:v>REQ-004</x:v>
      </x:c>
      <x:c r="B5" s="7" t="str">
        <x:v>Zeitstempel</x:v>
      </x:c>
      <x:c r="C5" s="7" t="str">
        <x:v>F</x:v>
      </x:c>
      <x:c r="D5" s="7" t="str">
        <x:v>1.0</x:v>
      </x:c>
      <x:c r="E5" s="7" t="str">
        <x:v>AP-05</x:v>
      </x:c>
      <x:c r="F5" s="7" t="str">
        <x:v>TEST-003</x:v>
      </x:c>
      <x:c r="G5" s="7" t="str">
        <x:v>UTC-Zeitstempel exakt erhalten</x:v>
      </x:c>
    </x:row>
    <x:row r="6" ht="23" customHeight="1">
      <x:c r="A6" s="7" t="str">
        <x:v>REQ-005</x:v>
      </x:c>
      <x:c r="B6" s="7" t="str">
        <x:v>Temperaturalarm</x:v>
      </x:c>
      <x:c r="C6" s="7" t="str">
        <x:v>F</x:v>
      </x:c>
      <x:c r="D6" s="7" t="str">
        <x:v>1.0</x:v>
      </x:c>
      <x:c r="E6" s="7" t="str">
        <x:v>AP-06</x:v>
      </x:c>
      <x:c r="F6" s="7" t="str">
        <x:v>TEST-004</x:v>
      </x:c>
      <x:c r="G6" s="7" t="str">
        <x:v>80.1 Alarm; 80.0 kein Alarm</x:v>
      </x:c>
    </x:row>
    <x:row r="7" ht="23" customHeight="1">
      <x:c r="A7" s="7" t="str">
        <x:v>REQ-006</x:v>
      </x:c>
      <x:c r="B7" s="7" t="str">
        <x:v>Vibrationsalarm</x:v>
      </x:c>
      <x:c r="C7" s="7" t="str">
        <x:v>F</x:v>
      </x:c>
      <x:c r="D7" s="7" t="str">
        <x:v>1.0</x:v>
      </x:c>
      <x:c r="E7" s="7" t="str">
        <x:v>AP-06</x:v>
      </x:c>
      <x:c r="F7" s="7" t="str">
        <x:v>TEST-005</x:v>
      </x:c>
      <x:c r="G7" s="7" t="str">
        <x:v>7.1 Alarm; 7.0 kein Alarm</x:v>
      </x:c>
    </x:row>
    <x:row r="8" ht="23" customHeight="1">
      <x:c r="A8" s="7" t="str">
        <x:v>REQ-007</x:v>
      </x:c>
      <x:c r="B8" s="7" t="str">
        <x:v>Ereignisprotokoll</x:v>
      </x:c>
      <x:c r="C8" s="7" t="str">
        <x:v>F</x:v>
      </x:c>
      <x:c r="D8" s="7" t="str">
        <x:v>1.0</x:v>
      </x:c>
      <x:c r="E8" s="7" t="str">
        <x:v>AP-05</x:v>
      </x:c>
      <x:c r="F8" s="7" t="str">
        <x:v>TEST-006</x:v>
      </x:c>
      <x:c r="G8" s="7" t="str">
        <x:v>Alle 4 Felder vorhanden</x:v>
      </x:c>
    </x:row>
    <x:row r="9" ht="23" customHeight="1">
      <x:c r="A9" s="7" t="str">
        <x:v>REQ-008</x:v>
      </x:c>
      <x:c r="B9" s="7" t="str">
        <x:v>Maschinenuebersicht</x:v>
      </x:c>
      <x:c r="C9" s="7" t="str">
        <x:v>F</x:v>
      </x:c>
      <x:c r="D9" s="7" t="str">
        <x:v>1.0</x:v>
      </x:c>
      <x:c r="E9" s="7" t="str">
        <x:v>AP-07</x:v>
      </x:c>
      <x:c r="F9" s="7" t="str">
        <x:v>TEST-007</x:v>
      </x:c>
      <x:c r="G9" s="7" t="str">
        <x:v>10 Eintraege sichtbar</x:v>
      </x:c>
    </x:row>
    <x:row r="10" ht="23" customHeight="1">
      <x:c r="A10" s="7" t="str">
        <x:v>REQ-009</x:v>
      </x:c>
      <x:c r="B10" s="7" t="str">
        <x:v>Alarmanzeige</x:v>
      </x:c>
      <x:c r="C10" s="7" t="str">
        <x:v>F</x:v>
      </x:c>
      <x:c r="D10" s="7" t="str">
        <x:v>1.0</x:v>
      </x:c>
      <x:c r="E10" s="7" t="str">
        <x:v>AP-07</x:v>
      </x:c>
      <x:c r="F10" s="7" t="str">
        <x:v>TEST-007</x:v>
      </x:c>
      <x:c r="G10" s="7" t="str">
        <x:v>Aktiver Alarm sichtbar</x:v>
      </x:c>
    </x:row>
    <x:row r="11" ht="23" customHeight="1">
      <x:c r="A11" s="7" t="str">
        <x:v>REQ-010</x:v>
      </x:c>
      <x:c r="B11" s="7" t="str">
        <x:v>Ungültige ID ablehnen</x:v>
      </x:c>
      <x:c r="C11" s="7" t="str">
        <x:v>F</x:v>
      </x:c>
      <x:c r="D11" s="7" t="str">
        <x:v>1.0</x:v>
      </x:c>
      <x:c r="E11" s="7" t="str">
        <x:v>AP-04</x:v>
      </x:c>
      <x:c r="F11" s="7" t="str">
        <x:v>TEST-008</x:v>
      </x:c>
      <x:c r="G11" s="7" t="str">
        <x:v>M-99 abgelehnt, kein Messdatensatz</x:v>
      </x:c>
    </x:row>
    <x:row r="12" ht="23" customHeight="1">
      <x:c r="A12" s="7" t="str">
        <x:v>REQ-011</x:v>
      </x:c>
      <x:c r="B12" s="7" t="str">
        <x:v>Keine Fernsteuerung</x:v>
      </x:c>
      <x:c r="C12" s="7" t="str">
        <x:v>F</x:v>
      </x:c>
      <x:c r="D12" s="7" t="str">
        <x:v>1.0</x:v>
      </x:c>
      <x:c r="E12" s="7" t="str">
        <x:v>AP-07</x:v>
      </x:c>
      <x:c r="F12" s="7" t="str">
        <x:v>TEST-009</x:v>
      </x:c>
      <x:c r="G12" s="7" t="str">
        <x:v>Keine Steuer-API und kein Shutdown-Knopf</x:v>
      </x:c>
    </x:row>
    <x:row r="13" ht="23" customHeight="1">
      <x:c r="A13" s="7" t="str">
        <x:v>REQ-012</x:v>
      </x:c>
      <x:c r="B13" s="7" t="str">
        <x:v>Alarm-Latenz</x:v>
      </x:c>
      <x:c r="C13" s="7" t="str">
        <x:v>Q</x:v>
      </x:c>
      <x:c r="D13" s="7" t="str">
        <x:v>2.0</x:v>
      </x:c>
      <x:c r="E13" s="7" t="str">
        <x:v>AP-08</x:v>
      </x:c>
      <x:c r="F13" s="7" t="str">
        <x:v>TEST-010</x:v>
      </x:c>
      <x:c r="G13" s="7" t="str">
        <x:v>End-to-End-Latenz &lt;=1.0 s</x:v>
      </x:c>
    </x:row>
    <x:row r="14" ht="23" customHeight="1">
      <x:c r="A14" s="7" t="str">
        <x:v>REQ-013</x:v>
      </x:c>
      <x:c r="B14" s="7" t="str">
        <x:v>Datenvollstaendigkeit</x:v>
      </x:c>
      <x:c r="C14" s="7" t="str">
        <x:v>Q</x:v>
      </x:c>
      <x:c r="D14" s="7" t="str">
        <x:v>1.0</x:v>
      </x:c>
      <x:c r="E14" s="7" t="str">
        <x:v>AP-05</x:v>
      </x:c>
      <x:c r="F14" s="7" t="str">
        <x:v>TEST-011</x:v>
      </x:c>
      <x:c r="G14" s="7" t="str">
        <x:v>Gespeichert / gueltig empfangen &gt;=0.99</x:v>
      </x:c>
    </x:row>
    <x:row r="15" ht="23" customHeight="1">
      <x:c r="A15" s="7" t="str">
        <x:v>REQ-014</x:v>
      </x:c>
      <x:c r="B15" s="7" t="str">
        <x:v>Reproduzierbarkeit</x:v>
      </x:c>
      <x:c r="C15" s="7" t="str">
        <x:v>Q</x:v>
      </x:c>
      <x:c r="D15" s="7" t="str">
        <x:v>1.0</x:v>
      </x:c>
      <x:c r="E15" s="7" t="str">
        <x:v>AP-03</x:v>
      </x:c>
      <x:c r="F15" s="7" t="str">
        <x:v>TEST-012</x:v>
      </x:c>
      <x:c r="G15" s="7" t="str">
        <x:v>100 identische Datensaetze je Wiederholung</x:v>
      </x:c>
    </x:row>
    <x:row r="16" ht="23" customHeight="1">
      <x:c r="A16" s="7" t="str">
        <x:v>REQ-015</x:v>
      </x:c>
      <x:c r="B16" s="7" t="str">
        <x:v>Exportierbarkeit</x:v>
      </x:c>
      <x:c r="C16" s="7" t="str">
        <x:v>F</x:v>
      </x:c>
      <x:c r="D16" s="7" t="str">
        <x:v>1.0</x:v>
      </x:c>
      <x:c r="E16" s="7" t="str">
        <x:v>AP-07</x:v>
      </x:c>
      <x:c r="F16" s="7" t="str">
        <x:v>TEST-013</x:v>
      </x:c>
      <x:c r="G16" s="7" t="str">
        <x:v>CSV mit allen vorhandenen Alarmereignissen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7" hidden="0" customWidth="1"/>
    <x:col min="4" max="4" width="54" hidden="0" customWidth="1"/>
    <x:col min="5" max="5" width="60" hidden="0" customWidth="1"/>
    <x:col min="6" max="6" width="27" hidden="0" customWidth="1"/>
  </x:cols>
  <x:sheetData>
    <x:row r="1" ht="30" customHeight="1">
      <x:c r="A1" s="6" t="str">
        <x:v>TEST-ID</x:v>
      </x:c>
      <x:c r="B1" s="6" t="str">
        <x:v>REQ Links</x:v>
      </x:c>
      <x:c r="C1" s="6" t="str">
        <x:v>Typ</x:v>
      </x:c>
      <x:c r="D1" s="6" t="str">
        <x:v>Input</x:v>
      </x:c>
      <x:c r="E1" s="6" t="str">
        <x:v>Erwartung</x:v>
      </x:c>
      <x:c r="F1" s="6" t="str">
        <x:v>Status</x:v>
      </x:c>
    </x:row>
    <x:row r="2" ht="23" customHeight="1">
      <x:c r="A2" s="7" t="str">
        <x:v>TEST-001</x:v>
      </x:c>
      <x:c r="B2" s="7" t="str">
        <x:v>REQ-001</x:v>
      </x:c>
      <x:c r="C2" s="7" t="str">
        <x:v>Positiv</x:v>
      </x:c>
      <x:c r="D2" s="7" t="str">
        <x:v>10 gueltige Maschinen-IDs senden</x:v>
      </x:c>
      <x:c r="E2" s="7" t="str">
        <x:v>Alle zehn IDs eindeutig zugeordnet</x:v>
      </x:c>
      <x:c r="F2" s="7" t="str">
        <x:v>NICHT AUSGEFUEHRT</x:v>
      </x:c>
    </x:row>
    <x:row r="3" ht="23" customHeight="1">
      <x:c r="A3" s="7" t="str">
        <x:v>TEST-002</x:v>
      </x:c>
      <x:c r="B3" s="7" t="str">
        <x:v>REQ-002, REQ-003</x:v>
      </x:c>
      <x:c r="C3" s="7" t="str">
        <x:v>Positiv</x:v>
      </x:c>
      <x:c r="D3" s="7" t="str">
        <x:v>83.5 C, 4.2 mm/s senden</x:v>
      </x:c>
      <x:c r="E3" s="7" t="str">
        <x:v>Temperatur 83.5 C und Vibration 4.2 mm/s erhalten</x:v>
      </x:c>
      <x:c r="F3" s="7" t="str">
        <x:v>NICHT AUSGEFUEHRT</x:v>
      </x:c>
    </x:row>
    <x:row r="4" ht="23" customHeight="1">
      <x:c r="A4" s="7" t="str">
        <x:v>TEST-003</x:v>
      </x:c>
      <x:c r="B4" s="7" t="str">
        <x:v>REQ-004</x:v>
      </x:c>
      <x:c r="C4" s="7" t="str">
        <x:v>Positiv</x:v>
      </x:c>
      <x:c r="D4" s="7" t="str">
        <x:v>UTC-Zeitstempel 2026-10-09T12:00:00Z einspeisen</x:v>
      </x:c>
      <x:c r="E4" s="7" t="str">
        <x:v>Zeitstempel exakt gespeichert</x:v>
      </x:c>
      <x:c r="F4" s="7" t="str">
        <x:v>NICHT AUSGEFUEHRT</x:v>
      </x:c>
    </x:row>
    <x:row r="5" ht="23" customHeight="1">
      <x:c r="A5" s="7" t="str">
        <x:v>TEST-004</x:v>
      </x:c>
      <x:c r="B5" s="7" t="str">
        <x:v>REQ-005</x:v>
      </x:c>
      <x:c r="C5" s="7" t="str">
        <x:v>Grenzwert</x:v>
      </x:c>
      <x:c r="D5" s="7" t="str">
        <x:v>80.0 C danach 80.1 C senden</x:v>
      </x:c>
      <x:c r="E5" s="7" t="str">
        <x:v>Bei 80.0 kein Alarm; bei 80.1 Alarm</x:v>
      </x:c>
      <x:c r="F5" s="7" t="str">
        <x:v>NICHT AUSGEFUEHRT</x:v>
      </x:c>
    </x:row>
    <x:row r="6" ht="23" customHeight="1">
      <x:c r="A6" s="7" t="str">
        <x:v>TEST-005</x:v>
      </x:c>
      <x:c r="B6" s="7" t="str">
        <x:v>REQ-006</x:v>
      </x:c>
      <x:c r="C6" s="7" t="str">
        <x:v>Grenzwert</x:v>
      </x:c>
      <x:c r="D6" s="7" t="str">
        <x:v>7.0 danach 7.1 mm/s einspeisen</x:v>
      </x:c>
      <x:c r="E6" s="7" t="str">
        <x:v>Bei 7.0 kein Alarm; bei 7.1 Alarm</x:v>
      </x:c>
      <x:c r="F6" s="7" t="str">
        <x:v>NICHT AUSGEFUEHRT</x:v>
      </x:c>
    </x:row>
    <x:row r="7" ht="23" customHeight="1">
      <x:c r="A7" s="7" t="str">
        <x:v>TEST-006</x:v>
      </x:c>
      <x:c r="B7" s="7" t="str">
        <x:v>REQ-007</x:v>
      </x:c>
      <x:c r="C7" s="7" t="str">
        <x:v>Positiv</x:v>
      </x:c>
      <x:c r="D7" s="7" t="str">
        <x:v>Temperaturalarm fuer M-02 ausloesen</x:v>
      </x:c>
      <x:c r="E7" s="7" t="str">
        <x:v>Event enthaelt ID, UTC-Zeit, Messwert, Typ</x:v>
      </x:c>
      <x:c r="F7" s="7" t="str">
        <x:v>NICHT AUSGEFUEHRT</x:v>
      </x:c>
    </x:row>
    <x:row r="8" ht="23" customHeight="1">
      <x:c r="A8" s="7" t="str">
        <x:v>TEST-007</x:v>
      </x:c>
      <x:c r="B8" s="7" t="str">
        <x:v>REQ-008, REQ-009</x:v>
      </x:c>
      <x:c r="C8" s="7" t="str">
        <x:v>Positiv</x:v>
      </x:c>
      <x:c r="D8" s="7" t="str">
        <x:v>10 Maschinen mit aktivem Alarm M-02 bereitstellen</x:v>
      </x:c>
      <x:c r="E8" s="7" t="str">
        <x:v>10 Maschinen sichtbar; M-02 Alarm sichtbar</x:v>
      </x:c>
      <x:c r="F8" s="7" t="str">
        <x:v>NICHT AUSGEFUEHRT</x:v>
      </x:c>
    </x:row>
    <x:row r="9" ht="23" customHeight="1">
      <x:c r="A9" s="7" t="str">
        <x:v>TEST-008</x:v>
      </x:c>
      <x:c r="B9" s="7" t="str">
        <x:v>REQ-010</x:v>
      </x:c>
      <x:c r="C9" s="7" t="str">
        <x:v>Negativ</x:v>
      </x:c>
      <x:c r="D9" s="7" t="str">
        <x:v>Messung von M-99 einspeisen</x:v>
      </x:c>
      <x:c r="E9" s="7" t="str">
        <x:v>Messung abgewiesen, kein neuer DB-Eintrag</x:v>
      </x:c>
      <x:c r="F9" s="7" t="str">
        <x:v>NICHT AUSGEFUEHRT</x:v>
      </x:c>
    </x:row>
    <x:row r="10" ht="23" customHeight="1">
      <x:c r="A10" s="7" t="str">
        <x:v>TEST-009</x:v>
      </x:c>
      <x:c r="B10" s="7" t="str">
        <x:v>REQ-011</x:v>
      </x:c>
      <x:c r="C10" s="7" t="str">
        <x:v>Negativ</x:v>
      </x:c>
      <x:c r="D10" s="7" t="str">
        <x:v>UI und API auf Steuerungsfunktionen pruefen</x:v>
      </x:c>
      <x:c r="E10" s="7" t="str">
        <x:v>Keine Steuerbefehle, keine Abschaltfunktion</x:v>
      </x:c>
      <x:c r="F10" s="7" t="str">
        <x:v>NICHT AUSGEFUEHRT</x:v>
      </x:c>
    </x:row>
    <x:row r="11" ht="23" customHeight="1">
      <x:c r="A11" s="7" t="str">
        <x:v>TEST-010</x:v>
      </x:c>
      <x:c r="B11" s="7" t="str">
        <x:v>REQ-012</x:v>
      </x:c>
      <x:c r="C11" s="7" t="str">
        <x:v>Leistung</x:v>
      </x:c>
      <x:c r="D11" s="7" t="str">
        <x:v>10 Maschinen, Alarmmessung, Latenz messen</x:v>
      </x:c>
      <x:c r="E11" s="7" t="str">
        <x:v>B1: &lt;=2.0 s; B2: &lt;=1.0 s</x:v>
      </x:c>
      <x:c r="F11" s="7" t="str">
        <x:v>NICHT AUSGEFUEHRT</x:v>
      </x:c>
    </x:row>
    <x:row r="12" ht="23" customHeight="1">
      <x:c r="A12" s="7" t="str">
        <x:v>TEST-011</x:v>
      </x:c>
      <x:c r="B12" s="7" t="str">
        <x:v>REQ-013</x:v>
      </x:c>
      <x:c r="C12" s="7" t="str">
        <x:v>Leistung</x:v>
      </x:c>
      <x:c r="D12" s="7" t="str">
        <x:v>60 min Messdaten mit Zaehlern einspeisen</x:v>
      </x:c>
      <x:c r="E12" s="7" t="str">
        <x:v>Gespeicherte / gueltige Nachrichten &gt;=99%</x:v>
      </x:c>
      <x:c r="F12" s="7" t="str">
        <x:v>NICHT AUSGEFUEHRT</x:v>
      </x:c>
    </x:row>
    <x:row r="13" ht="23" customHeight="1">
      <x:c r="A13" s="7" t="str">
        <x:v>TEST-012</x:v>
      </x:c>
      <x:c r="B13" s="7" t="str">
        <x:v>REQ-014</x:v>
      </x:c>
      <x:c r="C13" s="7" t="str">
        <x:v>Positiv</x:v>
      </x:c>
      <x:c r="D13" s="7" t="str">
        <x:v>Zweimal 100 Messungen mit Seed 42 erzeugen</x:v>
      </x:c>
      <x:c r="E13" s="7" t="str">
        <x:v>Die Folgen stimmen exakt ueberein</x:v>
      </x:c>
      <x:c r="F13" s="7" t="str">
        <x:v>NICHT AUSGEFUEHRT</x:v>
      </x:c>
    </x:row>
    <x:row r="14" ht="23" customHeight="1">
      <x:c r="A14" s="7" t="str">
        <x:v>TEST-013</x:v>
      </x:c>
      <x:c r="B14" s="7" t="str">
        <x:v>REQ-015</x:v>
      </x:c>
      <x:c r="C14" s="7" t="str">
        <x:v>Positiv</x:v>
      </x:c>
      <x:c r="D14" s="7" t="str">
        <x:v>3 gespeicherte Alarmereignisse exportieren</x:v>
      </x:c>
      <x:c r="E14" s="7" t="str">
        <x:v>CSV mit 3 korrekten Ereignissen</x:v>
      </x:c>
      <x:c r="F14" s="7" t="str">
        <x:v>NICHT AUSGEFUEHRT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18" hidden="0" customWidth="1"/>
    <x:col min="4" max="4" width="18" hidden="0" customWidth="1"/>
    <x:col min="5" max="5" width="16" hidden="0" customWidth="1"/>
  </x:cols>
  <x:sheetData>
    <x:row r="1" ht="30" customHeight="1">
      <x:c r="A1" s="6" t="str">
        <x:v>REQ</x:v>
      </x:c>
      <x:c r="B1" s="6" t="str">
        <x:v>REQ-Version B2</x:v>
      </x:c>
      <x:c r="C1" s="6" t="str">
        <x:v>AP</x:v>
      </x:c>
      <x:c r="D1" s="6" t="str">
        <x:v>TEST</x:v>
      </x:c>
      <x:c r="E1" s="6" t="str">
        <x:v>CR</x:v>
      </x:c>
    </x:row>
    <x:row r="2" ht="23" customHeight="1">
      <x:c r="A2" s="7" t="str">
        <x:v>REQ-001</x:v>
      </x:c>
      <x:c r="B2" s="7" t="str">
        <x:v>1.0</x:v>
      </x:c>
      <x:c r="C2" s="7" t="str">
        <x:v>AP-04</x:v>
      </x:c>
      <x:c r="D2" s="7" t="str">
        <x:v>TEST-001</x:v>
      </x:c>
      <x:c r="E2" s="7" t="str"/>
    </x:row>
    <x:row r="3" ht="23" customHeight="1">
      <x:c r="A3" s="7" t="str">
        <x:v>REQ-002</x:v>
      </x:c>
      <x:c r="B3" s="7" t="str">
        <x:v>1.0</x:v>
      </x:c>
      <x:c r="C3" s="7" t="str">
        <x:v>AP-04</x:v>
      </x:c>
      <x:c r="D3" s="7" t="str">
        <x:v>TEST-002</x:v>
      </x:c>
      <x:c r="E3" s="7" t="str"/>
    </x:row>
    <x:row r="4" ht="23" customHeight="1">
      <x:c r="A4" s="7" t="str">
        <x:v>REQ-003</x:v>
      </x:c>
      <x:c r="B4" s="7" t="str">
        <x:v>1.0</x:v>
      </x:c>
      <x:c r="C4" s="7" t="str">
        <x:v>AP-04</x:v>
      </x:c>
      <x:c r="D4" s="7" t="str">
        <x:v>TEST-002</x:v>
      </x:c>
      <x:c r="E4" s="7" t="str"/>
    </x:row>
    <x:row r="5" ht="23" customHeight="1">
      <x:c r="A5" s="7" t="str">
        <x:v>REQ-004</x:v>
      </x:c>
      <x:c r="B5" s="7" t="str">
        <x:v>1.0</x:v>
      </x:c>
      <x:c r="C5" s="7" t="str">
        <x:v>AP-05</x:v>
      </x:c>
      <x:c r="D5" s="7" t="str">
        <x:v>TEST-003</x:v>
      </x:c>
      <x:c r="E5" s="7" t="str"/>
    </x:row>
    <x:row r="6" ht="23" customHeight="1">
      <x:c r="A6" s="7" t="str">
        <x:v>REQ-005</x:v>
      </x:c>
      <x:c r="B6" s="7" t="str">
        <x:v>1.0</x:v>
      </x:c>
      <x:c r="C6" s="7" t="str">
        <x:v>AP-06</x:v>
      </x:c>
      <x:c r="D6" s="7" t="str">
        <x:v>TEST-004</x:v>
      </x:c>
      <x:c r="E6" s="7" t="str"/>
    </x:row>
    <x:row r="7" ht="23" customHeight="1">
      <x:c r="A7" s="7" t="str">
        <x:v>REQ-006</x:v>
      </x:c>
      <x:c r="B7" s="7" t="str">
        <x:v>1.0</x:v>
      </x:c>
      <x:c r="C7" s="7" t="str">
        <x:v>AP-06</x:v>
      </x:c>
      <x:c r="D7" s="7" t="str">
        <x:v>TEST-005</x:v>
      </x:c>
      <x:c r="E7" s="7" t="str"/>
    </x:row>
    <x:row r="8" ht="23" customHeight="1">
      <x:c r="A8" s="7" t="str">
        <x:v>REQ-007</x:v>
      </x:c>
      <x:c r="B8" s="7" t="str">
        <x:v>1.0</x:v>
      </x:c>
      <x:c r="C8" s="7" t="str">
        <x:v>AP-05</x:v>
      </x:c>
      <x:c r="D8" s="7" t="str">
        <x:v>TEST-006</x:v>
      </x:c>
      <x:c r="E8" s="7" t="str"/>
    </x:row>
    <x:row r="9" ht="23" customHeight="1">
      <x:c r="A9" s="7" t="str">
        <x:v>REQ-008</x:v>
      </x:c>
      <x:c r="B9" s="7" t="str">
        <x:v>1.0</x:v>
      </x:c>
      <x:c r="C9" s="7" t="str">
        <x:v>AP-07</x:v>
      </x:c>
      <x:c r="D9" s="7" t="str">
        <x:v>TEST-007</x:v>
      </x:c>
      <x:c r="E9" s="7" t="str"/>
    </x:row>
    <x:row r="10" ht="23" customHeight="1">
      <x:c r="A10" s="7" t="str">
        <x:v>REQ-009</x:v>
      </x:c>
      <x:c r="B10" s="7" t="str">
        <x:v>1.0</x:v>
      </x:c>
      <x:c r="C10" s="7" t="str">
        <x:v>AP-07</x:v>
      </x:c>
      <x:c r="D10" s="7" t="str">
        <x:v>TEST-007</x:v>
      </x:c>
      <x:c r="E10" s="7" t="str"/>
    </x:row>
    <x:row r="11" ht="23" customHeight="1">
      <x:c r="A11" s="7" t="str">
        <x:v>REQ-010</x:v>
      </x:c>
      <x:c r="B11" s="7" t="str">
        <x:v>1.0</x:v>
      </x:c>
      <x:c r="C11" s="7" t="str">
        <x:v>AP-04</x:v>
      </x:c>
      <x:c r="D11" s="7" t="str">
        <x:v>TEST-008</x:v>
      </x:c>
      <x:c r="E11" s="7" t="str"/>
    </x:row>
    <x:row r="12" ht="23" customHeight="1">
      <x:c r="A12" s="7" t="str">
        <x:v>REQ-011</x:v>
      </x:c>
      <x:c r="B12" s="7" t="str">
        <x:v>1.0</x:v>
      </x:c>
      <x:c r="C12" s="7" t="str">
        <x:v>AP-07</x:v>
      </x:c>
      <x:c r="D12" s="7" t="str">
        <x:v>TEST-009</x:v>
      </x:c>
      <x:c r="E12" s="7" t="str"/>
    </x:row>
    <x:row r="13" ht="23" customHeight="1">
      <x:c r="A13" s="7" t="str">
        <x:v>REQ-012</x:v>
      </x:c>
      <x:c r="B13" s="7" t="str">
        <x:v>2.0</x:v>
      </x:c>
      <x:c r="C13" s="7" t="str">
        <x:v>AP-08</x:v>
      </x:c>
      <x:c r="D13" s="7" t="str">
        <x:v>TEST-010</x:v>
      </x:c>
      <x:c r="E13" s="7" t="str">
        <x:v>CR-001</x:v>
      </x:c>
    </x:row>
    <x:row r="14" ht="23" customHeight="1">
      <x:c r="A14" s="7" t="str">
        <x:v>REQ-013</x:v>
      </x:c>
      <x:c r="B14" s="7" t="str">
        <x:v>1.0</x:v>
      </x:c>
      <x:c r="C14" s="7" t="str">
        <x:v>AP-05</x:v>
      </x:c>
      <x:c r="D14" s="7" t="str">
        <x:v>TEST-011</x:v>
      </x:c>
      <x:c r="E14" s="7" t="str"/>
    </x:row>
    <x:row r="15" ht="23" customHeight="1">
      <x:c r="A15" s="7" t="str">
        <x:v>REQ-014</x:v>
      </x:c>
      <x:c r="B15" s="7" t="str">
        <x:v>1.0</x:v>
      </x:c>
      <x:c r="C15" s="7" t="str">
        <x:v>AP-03</x:v>
      </x:c>
      <x:c r="D15" s="7" t="str">
        <x:v>TEST-012</x:v>
      </x:c>
      <x:c r="E15" s="7" t="str"/>
    </x:row>
    <x:row r="16" ht="23" customHeight="1">
      <x:c r="A16" s="7" t="str">
        <x:v>REQ-015</x:v>
      </x:c>
      <x:c r="B16" s="7" t="str">
        <x:v>1.0</x:v>
      </x:c>
      <x:c r="C16" s="7" t="str">
        <x:v>AP-07</x:v>
      </x:c>
      <x:c r="D16" s="7" t="str">
        <x:v>TEST-013</x:v>
      </x:c>
      <x:c r="E16" s="7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6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0" customHeight="1">
      <x:c r="A1" s="6" t="str">
        <x:v>Kriterium</x:v>
      </x:c>
      <x:c r="B1" s="6" t="str">
        <x:v>Gewicht</x:v>
      </x:c>
      <x:c r="C1" s="6" t="str">
        <x:v>Excel-Word</x:v>
      </x:c>
      <x:c r="D1" s="6" t="str">
        <x:v>Jira</x:v>
      </x:c>
      <x:c r="E1" s="6" t="str">
        <x:v>Polarion</x:v>
      </x:c>
    </x:row>
    <x:row r="2" ht="23" customHeight="1">
      <x:c r="A2" s="7" t="str">
        <x:v>Traceability</x:v>
      </x:c>
      <x:c r="B2" s="7" t="n">
        <x:v>0.25</x:v>
      </x:c>
      <x:c r="C2" s="7" t="n">
        <x:v>2</x:v>
      </x:c>
      <x:c r="D2" s="7" t="n">
        <x:v>3</x:v>
      </x:c>
      <x:c r="E2" s="7" t="n">
        <x:v>5</x:v>
      </x:c>
    </x:row>
    <x:row r="3" ht="23" customHeight="1">
      <x:c r="A3" s="7" t="str">
        <x:v>Tests</x:v>
      </x:c>
      <x:c r="B3" s="7" t="n">
        <x:v>0.2</x:v>
      </x:c>
      <x:c r="C3" s="7" t="n">
        <x:v>2</x:v>
      </x:c>
      <x:c r="D3" s="7" t="n">
        <x:v>3</x:v>
      </x:c>
      <x:c r="E3" s="7" t="n">
        <x:v>5</x:v>
      </x:c>
    </x:row>
    <x:row r="4" ht="23" customHeight="1">
      <x:c r="A4" s="7" t="str">
        <x:v>Versionen</x:v>
      </x:c>
      <x:c r="B4" s="7" t="n">
        <x:v>0.15</x:v>
      </x:c>
      <x:c r="C4" s="7" t="n">
        <x:v>2</x:v>
      </x:c>
      <x:c r="D4" s="7" t="n">
        <x:v>3</x:v>
      </x:c>
      <x:c r="E4" s="7" t="n">
        <x:v>4</x:v>
      </x:c>
    </x:row>
    <x:row r="5" ht="23" customHeight="1">
      <x:c r="A5" s="7" t="str">
        <x:v>Zusammenarbeit</x:v>
      </x:c>
      <x:c r="B5" s="7" t="n">
        <x:v>0.15</x:v>
      </x:c>
      <x:c r="C5" s="7" t="n">
        <x:v>2</x:v>
      </x:c>
      <x:c r="D5" s="7" t="n">
        <x:v>5</x:v>
      </x:c>
      <x:c r="E5" s="7" t="n">
        <x:v>4</x:v>
      </x:c>
    </x:row>
    <x:row r="6" ht="23" customHeight="1">
      <x:c r="A6" s="7" t="str">
        <x:v>Bedienbarkeit</x:v>
      </x:c>
      <x:c r="B6" s="7" t="n">
        <x:v>0.15</x:v>
      </x:c>
      <x:c r="C6" s="7" t="n">
        <x:v>5</x:v>
      </x:c>
      <x:c r="D6" s="7" t="n">
        <x:v>4</x:v>
      </x:c>
      <x:c r="E6" s="7" t="n">
        <x:v>2</x:v>
      </x:c>
    </x:row>
    <x:row r="7" ht="23" customHeight="1">
      <x:c r="A7" s="7" t="str">
        <x:v>Zugang &amp; Kosten</x:v>
      </x:c>
      <x:c r="B7" s="7" t="n">
        <x:v>0.1</x:v>
      </x:c>
      <x:c r="C7" s="7" t="n">
        <x:v>5</x:v>
      </x:c>
      <x:c r="D7" s="7" t="n">
        <x:v>3</x:v>
      </x:c>
      <x:c r="E7" s="7" t="n">
        <x:v>2</x:v>
      </x:c>
    </x:row>
    <x:row r="8" ht="23" customHeight="1">
      <x:c r="A8" s="7" t="str">
        <x:v>Gew. Gesamtscore</x:v>
      </x:c>
      <x:c r="B8" s="7" t="n">
        <x:v>1</x:v>
      </x:c>
      <x:c r="C8" s="7" t="n">
        <x:f>SUMPRODUCT(B2:B7,C2:C7)</x:f>
        <x:v>2.75</x:v>
      </x:c>
      <x:c r="D8" s="7" t="n">
        <x:f>SUMPRODUCT(B2:B7,D2:D7)</x:f>
        <x:v>3.45</x:v>
      </x:c>
      <x:c r="E8" s="7" t="n">
        <x:f>SUMPRODUCT(B2:B7,E2:E7)</x:f>
        <x:v>3.95</x:v>
      </x:c>
    </x:row>
  </x:sheetData>
  <x:pageMargins left="0.7" right="0.7" top="0.75" bottom="0.75" header="0.3" footer="0.3"/>
</x:worksheet>
</file>